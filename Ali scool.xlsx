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l\"/>
    </mc:Choice>
  </mc:AlternateContent>
  <xr:revisionPtr revIDLastSave="0" documentId="8_{61760B02-DAA7-4898-99DF-54A4A30D1C38}" xr6:coauthVersionLast="47" xr6:coauthVersionMax="47" xr10:uidLastSave="{00000000-0000-0000-0000-000000000000}"/>
  <bookViews>
    <workbookView xWindow="-110" yWindow="-110" windowWidth="19420" windowHeight="10300" activeTab="1" xr2:uid="{BF9AD611-093F-4BCB-83FF-CD9C0449B52E}"/>
  </bookViews>
  <sheets>
    <sheet name="Ali School" sheetId="1" r:id="rId1"/>
    <sheet name="Dashboard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1" i="1" l="1"/>
  <c r="G21" i="1"/>
  <c r="J21" i="1" s="1"/>
  <c r="H20" i="1"/>
  <c r="G20" i="1"/>
  <c r="J20" i="1" s="1"/>
  <c r="J19" i="1"/>
  <c r="H19" i="1"/>
  <c r="G19" i="1"/>
  <c r="H18" i="1"/>
  <c r="G18" i="1"/>
  <c r="J18" i="1" s="1"/>
  <c r="H17" i="1"/>
  <c r="G17" i="1"/>
  <c r="J17" i="1" s="1"/>
  <c r="H16" i="1"/>
  <c r="G16" i="1"/>
  <c r="J16" i="1" s="1"/>
  <c r="H15" i="1"/>
  <c r="G15" i="1"/>
  <c r="J15" i="1" s="1"/>
  <c r="J14" i="1"/>
  <c r="H14" i="1"/>
  <c r="G14" i="1"/>
  <c r="H13" i="1"/>
  <c r="G13" i="1"/>
  <c r="J13" i="1" s="1"/>
  <c r="H12" i="1"/>
  <c r="G12" i="1"/>
  <c r="J12" i="1" s="1"/>
  <c r="J11" i="1"/>
  <c r="H11" i="1"/>
  <c r="G11" i="1"/>
  <c r="H10" i="1"/>
  <c r="G10" i="1"/>
  <c r="J10" i="1" s="1"/>
  <c r="H9" i="1"/>
  <c r="G9" i="1"/>
  <c r="J9" i="1" s="1"/>
  <c r="H8" i="1"/>
  <c r="G8" i="1"/>
  <c r="J8" i="1" s="1"/>
  <c r="H7" i="1"/>
  <c r="G7" i="1"/>
  <c r="J7" i="1" s="1"/>
  <c r="J6" i="1"/>
  <c r="H6" i="1"/>
  <c r="G6" i="1"/>
  <c r="H5" i="1"/>
  <c r="G5" i="1"/>
  <c r="J5" i="1" s="1"/>
  <c r="H4" i="1"/>
  <c r="G4" i="1"/>
  <c r="J4" i="1" s="1"/>
  <c r="J3" i="1"/>
  <c r="H3" i="1"/>
  <c r="G3" i="1"/>
  <c r="H2" i="1"/>
  <c r="G2" i="1"/>
  <c r="J2" i="1" s="1"/>
</calcChain>
</file>

<file path=xl/sharedStrings.xml><?xml version="1.0" encoding="utf-8"?>
<sst xmlns="http://schemas.openxmlformats.org/spreadsheetml/2006/main" count="72" uniqueCount="34">
  <si>
    <t>Student Id</t>
  </si>
  <si>
    <t>Name</t>
  </si>
  <si>
    <t>Pysics</t>
  </si>
  <si>
    <t>Chemistry</t>
  </si>
  <si>
    <t>Higer Math</t>
  </si>
  <si>
    <t>Biology</t>
  </si>
  <si>
    <t>Total</t>
  </si>
  <si>
    <t>Average</t>
  </si>
  <si>
    <t>Pass/Fail</t>
  </si>
  <si>
    <t>Rank</t>
  </si>
  <si>
    <t>Names/Ranks</t>
  </si>
  <si>
    <t>Ahamed</t>
  </si>
  <si>
    <t>Pass</t>
  </si>
  <si>
    <t>Mehidi</t>
  </si>
  <si>
    <t xml:space="preserve">Hafij </t>
  </si>
  <si>
    <t>Fail</t>
  </si>
  <si>
    <t>Hasan</t>
  </si>
  <si>
    <t>Ali</t>
  </si>
  <si>
    <t>Arian</t>
  </si>
  <si>
    <t>Mark</t>
  </si>
  <si>
    <t>Den</t>
  </si>
  <si>
    <t>Jon</t>
  </si>
  <si>
    <t>Doe</t>
  </si>
  <si>
    <t>David</t>
  </si>
  <si>
    <t>New your</t>
  </si>
  <si>
    <t>Junaed</t>
  </si>
  <si>
    <t>Sydeny</t>
  </si>
  <si>
    <t>Hossain</t>
  </si>
  <si>
    <t>Etly</t>
  </si>
  <si>
    <t>Mohamed</t>
  </si>
  <si>
    <t>Barlin</t>
  </si>
  <si>
    <t>Paris</t>
  </si>
  <si>
    <t>Lotus</t>
  </si>
  <si>
    <t>This is Ali School Annual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</si>
</sst>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0" xfId="0" applyAlignmen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0" xfId="0" applyFill="1"/>
    <xf numFmtId="0" fontId="4" fillId="2" borderId="0" xfId="0" applyFont="1" applyFill="1" applyAlignment="1">
      <alignment horizontal="center"/>
    </xf>
  </cellXfs>
  <cellStyles count="1">
    <cellStyle name="Normal" xfId="0" builtinId="0"/>
  </cellStyles>
  <dxfs count="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Higest</a:t>
            </a:r>
            <a:r>
              <a:rPr lang="en-US" baseline="0"/>
              <a:t> Number Of Subject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Average of Pysics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53.35</c:v>
              </c:pt>
            </c:numLit>
          </c:val>
          <c:extLst>
            <c:ext xmlns:c16="http://schemas.microsoft.com/office/drawing/2014/chart" uri="{C3380CC4-5D6E-409C-BE32-E72D297353CC}">
              <c16:uniqueId val="{00000000-0BA8-4D72-8FB9-BB9217139B86}"/>
            </c:ext>
          </c:extLst>
        </c:ser>
        <c:ser>
          <c:idx val="1"/>
          <c:order val="1"/>
          <c:tx>
            <c:v>Average of Biology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52.2</c:v>
              </c:pt>
            </c:numLit>
          </c:val>
          <c:extLst>
            <c:ext xmlns:c16="http://schemas.microsoft.com/office/drawing/2014/chart" uri="{C3380CC4-5D6E-409C-BE32-E72D297353CC}">
              <c16:uniqueId val="{00000001-0BA8-4D72-8FB9-BB9217139B86}"/>
            </c:ext>
          </c:extLst>
        </c:ser>
        <c:ser>
          <c:idx val="2"/>
          <c:order val="2"/>
          <c:tx>
            <c:v>Average of Chemistry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53.3</c:v>
              </c:pt>
            </c:numLit>
          </c:val>
          <c:extLst>
            <c:ext xmlns:c16="http://schemas.microsoft.com/office/drawing/2014/chart" uri="{C3380CC4-5D6E-409C-BE32-E72D297353CC}">
              <c16:uniqueId val="{00000002-0BA8-4D72-8FB9-BB9217139B86}"/>
            </c:ext>
          </c:extLst>
        </c:ser>
        <c:ser>
          <c:idx val="3"/>
          <c:order val="3"/>
          <c:tx>
            <c:v>Average of Higer Math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50.8</c:v>
              </c:pt>
            </c:numLit>
          </c:val>
          <c:extLst>
            <c:ext xmlns:c16="http://schemas.microsoft.com/office/drawing/2014/chart" uri="{C3380CC4-5D6E-409C-BE32-E72D297353CC}">
              <c16:uniqueId val="{00000003-0BA8-4D72-8FB9-BB9217139B8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99757615"/>
        <c:axId val="1499756367"/>
      </c:barChart>
      <c:catAx>
        <c:axId val="1499757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9756367"/>
        <c:crosses val="autoZero"/>
        <c:auto val="1"/>
        <c:lblAlgn val="ctr"/>
        <c:lblOffset val="100"/>
        <c:noMultiLvlLbl val="0"/>
      </c:catAx>
      <c:valAx>
        <c:axId val="1499756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9757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Pass / Fail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0555555555555561E-2"/>
              <c:y val="0.1944444444444443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cap="none" spc="0" baseline="0">
                  <a:ln w="0"/>
                  <a:solidFill>
                    <a:schemeClr val="bg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7.2222222222222174E-2"/>
              <c:y val="-0.2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0555555555555561E-2"/>
              <c:y val="0.1944444444444443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cap="none" spc="0" baseline="0">
                  <a:ln w="0"/>
                  <a:solidFill>
                    <a:schemeClr val="bg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7.2222222222222174E-2"/>
              <c:y val="-0.2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0555555555555561E-2"/>
              <c:y val="0.1944444444444443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cap="none" spc="0" baseline="0">
                  <a:ln w="0"/>
                  <a:solidFill>
                    <a:schemeClr val="bg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7.2222222222222174E-2"/>
              <c:y val="-0.2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0555555555555561E-2"/>
              <c:y val="0.1944444444444443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cap="none" spc="0" baseline="0">
                  <a:ln w="0"/>
                  <a:solidFill>
                    <a:schemeClr val="bg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7.2222222222222174E-2"/>
              <c:y val="-0.2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22476224846894138"/>
          <c:y val="0.17592592592592593"/>
          <c:w val="0.48380905511811023"/>
          <c:h val="0.80634842519685035"/>
        </c:manualLayout>
      </c:layout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923-4C8C-BF2F-623F7FE66AD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923-4C8C-BF2F-623F7FE66ADC}"/>
              </c:ext>
            </c:extLst>
          </c:dPt>
          <c:dLbls>
            <c:dLbl>
              <c:idx val="0"/>
              <c:layout>
                <c:manualLayout>
                  <c:x val="-8.0555555555555561E-2"/>
                  <c:y val="0.19444444444444439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cap="none" spc="0" baseline="0">
                      <a:ln w="0"/>
                      <a:solidFill>
                        <a:schemeClr val="bg1"/>
                      </a:solidFill>
                      <a:effectLst>
                        <a:outerShdw blurRad="38100" dist="19050" dir="2700000" algn="tl" rotWithShape="0">
                          <a:schemeClr val="dk1">
                            <a:alpha val="40000"/>
                          </a:scheme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F923-4C8C-BF2F-623F7FE66ADC}"/>
                </c:ext>
              </c:extLst>
            </c:dLbl>
            <c:dLbl>
              <c:idx val="1"/>
              <c:layout>
                <c:manualLayout>
                  <c:x val="7.2222222222222174E-2"/>
                  <c:y val="-0.25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923-4C8C-BF2F-623F7FE66AD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Lit>
              <c:ptCount val="2"/>
              <c:pt idx="0">
                <c:v>Fail</c:v>
              </c:pt>
              <c:pt idx="1">
                <c:v>Pass</c:v>
              </c:pt>
            </c:strLit>
          </c:cat>
          <c:val>
            <c:numLit>
              <c:formatCode>General</c:formatCode>
              <c:ptCount val="2"/>
              <c:pt idx="0">
                <c:v>3</c:v>
              </c:pt>
              <c:pt idx="1">
                <c:v>17</c:v>
              </c:pt>
            </c:numLit>
          </c:val>
          <c:extLst>
            <c:ext xmlns:c16="http://schemas.microsoft.com/office/drawing/2014/chart" uri="{C3380CC4-5D6E-409C-BE32-E72D297353CC}">
              <c16:uniqueId val="{00000004-F923-4C8C-BF2F-623F7FE66A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5</xdr:row>
      <xdr:rowOff>0</xdr:rowOff>
    </xdr:from>
    <xdr:to>
      <xdr:col>8</xdr:col>
      <xdr:colOff>606425</xdr:colOff>
      <xdr:row>17</xdr:row>
      <xdr:rowOff>15875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6EC11F-1133-41CA-B185-53C7F8D9F6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5</xdr:row>
      <xdr:rowOff>0</xdr:rowOff>
    </xdr:from>
    <xdr:to>
      <xdr:col>15</xdr:col>
      <xdr:colOff>146050</xdr:colOff>
      <xdr:row>17</xdr:row>
      <xdr:rowOff>69850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FF7B4F-8517-4486-B98B-A88A2628D5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7A319-BDC7-468B-B563-8B65874FE62A}">
  <dimension ref="A1:K21"/>
  <sheetViews>
    <sheetView topLeftCell="A4" workbookViewId="0">
      <selection activeCell="L3" sqref="L3"/>
    </sheetView>
  </sheetViews>
  <sheetFormatPr defaultRowHeight="14.5" x14ac:dyDescent="0.35"/>
  <cols>
    <col min="1" max="1" width="11.7265625" bestFit="1" customWidth="1"/>
    <col min="2" max="2" width="13.90625" customWidth="1"/>
    <col min="3" max="3" width="11.54296875" customWidth="1"/>
    <col min="4" max="4" width="15.90625" customWidth="1"/>
    <col min="5" max="5" width="15.1796875" customWidth="1"/>
    <col min="6" max="6" width="10.54296875" customWidth="1"/>
    <col min="8" max="8" width="12.54296875" customWidth="1"/>
    <col min="9" max="9" width="14.36328125" customWidth="1"/>
    <col min="10" max="10" width="16.81640625" style="3" customWidth="1"/>
    <col min="11" max="11" width="16.6328125" customWidth="1"/>
    <col min="12" max="12" width="16" customWidth="1"/>
  </cols>
  <sheetData>
    <row r="1" spans="1:11" ht="18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</row>
    <row r="2" spans="1:11" x14ac:dyDescent="0.35">
      <c r="A2" s="4">
        <v>1</v>
      </c>
      <c r="B2" s="8" t="s">
        <v>11</v>
      </c>
      <c r="C2" s="4">
        <v>95</v>
      </c>
      <c r="D2" s="4">
        <v>64</v>
      </c>
      <c r="E2" s="4">
        <v>25</v>
      </c>
      <c r="F2" s="4">
        <v>45</v>
      </c>
      <c r="G2" s="4">
        <f>SUM(C2, D2, E2, F2)</f>
        <v>229</v>
      </c>
      <c r="H2" s="6">
        <f>AVERAGE(C2:F2)</f>
        <v>57.25</v>
      </c>
      <c r="I2" s="4" t="s">
        <v>12</v>
      </c>
      <c r="J2" s="5">
        <f>RANK(G2,$G$2:$G$21,0)</f>
        <v>8</v>
      </c>
      <c r="K2" s="9" t="s">
        <v>13</v>
      </c>
    </row>
    <row r="3" spans="1:11" x14ac:dyDescent="0.35">
      <c r="A3" s="4">
        <v>2</v>
      </c>
      <c r="B3" s="8" t="s">
        <v>14</v>
      </c>
      <c r="C3" s="4">
        <v>33</v>
      </c>
      <c r="D3" s="4">
        <v>25</v>
      </c>
      <c r="E3" s="4">
        <v>45</v>
      </c>
      <c r="F3" s="4">
        <v>12</v>
      </c>
      <c r="G3" s="4">
        <f t="shared" ref="G3:G21" si="0">SUM(C3, D3, E3, F3)</f>
        <v>115</v>
      </c>
      <c r="H3" s="6">
        <f t="shared" ref="H3:H21" si="1">AVERAGE(C3:F3)</f>
        <v>28.75</v>
      </c>
      <c r="I3" s="4" t="s">
        <v>15</v>
      </c>
      <c r="J3" s="5">
        <f t="shared" ref="J3:J21" si="2">RANK(G3,$G$2:$G$21,0)</f>
        <v>19</v>
      </c>
      <c r="K3" s="9" t="s">
        <v>16</v>
      </c>
    </row>
    <row r="4" spans="1:11" x14ac:dyDescent="0.35">
      <c r="A4" s="4">
        <v>3</v>
      </c>
      <c r="B4" s="8" t="s">
        <v>17</v>
      </c>
      <c r="C4" s="4">
        <v>52</v>
      </c>
      <c r="D4" s="4">
        <v>65</v>
      </c>
      <c r="E4" s="4">
        <v>75</v>
      </c>
      <c r="F4" s="4">
        <v>45</v>
      </c>
      <c r="G4" s="4">
        <f t="shared" si="0"/>
        <v>237</v>
      </c>
      <c r="H4" s="6">
        <f t="shared" si="1"/>
        <v>59.25</v>
      </c>
      <c r="I4" s="4" t="s">
        <v>12</v>
      </c>
      <c r="J4" s="5">
        <f t="shared" si="2"/>
        <v>7</v>
      </c>
      <c r="K4" s="9" t="s">
        <v>18</v>
      </c>
    </row>
    <row r="5" spans="1:11" x14ac:dyDescent="0.35">
      <c r="A5" s="4">
        <v>4</v>
      </c>
      <c r="B5" s="8" t="s">
        <v>16</v>
      </c>
      <c r="C5" s="4">
        <v>45</v>
      </c>
      <c r="D5" s="4">
        <v>62</v>
      </c>
      <c r="E5" s="4">
        <v>85</v>
      </c>
      <c r="F5" s="4">
        <v>75</v>
      </c>
      <c r="G5" s="4">
        <f t="shared" si="0"/>
        <v>267</v>
      </c>
      <c r="H5" s="6">
        <f t="shared" si="1"/>
        <v>66.75</v>
      </c>
      <c r="I5" s="4" t="s">
        <v>12</v>
      </c>
      <c r="J5" s="5">
        <f t="shared" si="2"/>
        <v>2</v>
      </c>
      <c r="K5" s="9" t="s">
        <v>19</v>
      </c>
    </row>
    <row r="6" spans="1:11" x14ac:dyDescent="0.35">
      <c r="A6" s="4">
        <v>5</v>
      </c>
      <c r="B6" s="8" t="s">
        <v>13</v>
      </c>
      <c r="C6" s="4">
        <v>95</v>
      </c>
      <c r="D6" s="4">
        <v>35</v>
      </c>
      <c r="E6" s="4">
        <v>95</v>
      </c>
      <c r="F6" s="4">
        <v>85</v>
      </c>
      <c r="G6" s="4">
        <f t="shared" si="0"/>
        <v>310</v>
      </c>
      <c r="H6" s="6">
        <f t="shared" si="1"/>
        <v>77.5</v>
      </c>
      <c r="I6" s="4" t="s">
        <v>12</v>
      </c>
      <c r="J6" s="5">
        <f t="shared" si="2"/>
        <v>1</v>
      </c>
      <c r="K6" s="9" t="s">
        <v>20</v>
      </c>
    </row>
    <row r="7" spans="1:11" x14ac:dyDescent="0.35">
      <c r="A7" s="4">
        <v>6</v>
      </c>
      <c r="B7" s="8" t="s">
        <v>18</v>
      </c>
      <c r="C7" s="4">
        <v>45</v>
      </c>
      <c r="D7" s="4">
        <v>45</v>
      </c>
      <c r="E7" s="4">
        <v>65</v>
      </c>
      <c r="F7" s="4">
        <v>95</v>
      </c>
      <c r="G7" s="4">
        <f t="shared" si="0"/>
        <v>250</v>
      </c>
      <c r="H7" s="6">
        <f t="shared" si="1"/>
        <v>62.5</v>
      </c>
      <c r="I7" s="4" t="s">
        <v>12</v>
      </c>
      <c r="J7" s="5">
        <f t="shared" si="2"/>
        <v>3</v>
      </c>
      <c r="K7" s="9" t="s">
        <v>21</v>
      </c>
    </row>
    <row r="8" spans="1:11" x14ac:dyDescent="0.35">
      <c r="A8" s="4">
        <v>7</v>
      </c>
      <c r="B8" s="8" t="s">
        <v>21</v>
      </c>
      <c r="C8" s="4">
        <v>65</v>
      </c>
      <c r="D8" s="4">
        <v>75</v>
      </c>
      <c r="E8" s="4">
        <v>35</v>
      </c>
      <c r="F8" s="4">
        <v>65</v>
      </c>
      <c r="G8" s="4">
        <f t="shared" si="0"/>
        <v>240</v>
      </c>
      <c r="H8" s="6">
        <f t="shared" si="1"/>
        <v>60</v>
      </c>
      <c r="I8" s="4" t="s">
        <v>12</v>
      </c>
      <c r="J8" s="5">
        <f t="shared" si="2"/>
        <v>6</v>
      </c>
      <c r="K8" s="9" t="s">
        <v>17</v>
      </c>
    </row>
    <row r="9" spans="1:11" x14ac:dyDescent="0.35">
      <c r="A9" s="4">
        <v>8</v>
      </c>
      <c r="B9" s="8" t="s">
        <v>22</v>
      </c>
      <c r="C9" s="4">
        <v>54</v>
      </c>
      <c r="D9" s="4">
        <v>85</v>
      </c>
      <c r="E9" s="4">
        <v>25</v>
      </c>
      <c r="F9" s="4">
        <v>32</v>
      </c>
      <c r="G9" s="4">
        <f t="shared" si="0"/>
        <v>196</v>
      </c>
      <c r="H9" s="6">
        <f t="shared" si="1"/>
        <v>49</v>
      </c>
      <c r="I9" s="4" t="s">
        <v>12</v>
      </c>
      <c r="J9" s="5">
        <f t="shared" si="2"/>
        <v>13</v>
      </c>
      <c r="K9" s="9" t="s">
        <v>11</v>
      </c>
    </row>
    <row r="10" spans="1:11" x14ac:dyDescent="0.35">
      <c r="A10" s="4">
        <v>9</v>
      </c>
      <c r="B10" s="8" t="s">
        <v>23</v>
      </c>
      <c r="C10" s="4">
        <v>35</v>
      </c>
      <c r="D10" s="4">
        <v>25</v>
      </c>
      <c r="E10" s="4">
        <v>34</v>
      </c>
      <c r="F10" s="4">
        <v>15</v>
      </c>
      <c r="G10" s="4">
        <f t="shared" si="0"/>
        <v>109</v>
      </c>
      <c r="H10" s="6">
        <f t="shared" si="1"/>
        <v>27.25</v>
      </c>
      <c r="I10" s="4" t="s">
        <v>15</v>
      </c>
      <c r="J10" s="5">
        <f t="shared" si="2"/>
        <v>20</v>
      </c>
      <c r="K10" s="9" t="s">
        <v>24</v>
      </c>
    </row>
    <row r="11" spans="1:11" x14ac:dyDescent="0.35">
      <c r="A11" s="4">
        <v>10</v>
      </c>
      <c r="B11" s="8" t="s">
        <v>25</v>
      </c>
      <c r="C11" s="4">
        <v>85</v>
      </c>
      <c r="D11" s="4">
        <v>65</v>
      </c>
      <c r="E11" s="4">
        <v>25</v>
      </c>
      <c r="F11" s="4">
        <v>15</v>
      </c>
      <c r="G11" s="4">
        <f t="shared" si="0"/>
        <v>190</v>
      </c>
      <c r="H11" s="6">
        <f t="shared" si="1"/>
        <v>47.5</v>
      </c>
      <c r="I11" s="4" t="s">
        <v>12</v>
      </c>
      <c r="J11" s="5">
        <f t="shared" si="2"/>
        <v>14</v>
      </c>
      <c r="K11" s="9" t="s">
        <v>26</v>
      </c>
    </row>
    <row r="12" spans="1:11" x14ac:dyDescent="0.35">
      <c r="A12" s="4">
        <v>11</v>
      </c>
      <c r="B12" s="8" t="s">
        <v>27</v>
      </c>
      <c r="C12" s="4">
        <v>62</v>
      </c>
      <c r="D12" s="4">
        <v>35</v>
      </c>
      <c r="E12" s="4">
        <v>45</v>
      </c>
      <c r="F12" s="4">
        <v>45</v>
      </c>
      <c r="G12" s="4">
        <f t="shared" si="0"/>
        <v>187</v>
      </c>
      <c r="H12" s="6">
        <f t="shared" si="1"/>
        <v>46.75</v>
      </c>
      <c r="I12" s="4" t="s">
        <v>12</v>
      </c>
      <c r="J12" s="5">
        <f t="shared" si="2"/>
        <v>17</v>
      </c>
      <c r="K12" s="9" t="s">
        <v>28</v>
      </c>
    </row>
    <row r="13" spans="1:11" x14ac:dyDescent="0.35">
      <c r="A13" s="4">
        <v>12</v>
      </c>
      <c r="B13" s="8" t="s">
        <v>29</v>
      </c>
      <c r="C13" s="4">
        <v>45</v>
      </c>
      <c r="D13" s="4">
        <v>25</v>
      </c>
      <c r="E13" s="4">
        <v>45</v>
      </c>
      <c r="F13" s="4">
        <v>75</v>
      </c>
      <c r="G13" s="4">
        <f t="shared" si="0"/>
        <v>190</v>
      </c>
      <c r="H13" s="6">
        <f t="shared" si="1"/>
        <v>47.5</v>
      </c>
      <c r="I13" s="4" t="s">
        <v>12</v>
      </c>
      <c r="J13" s="5">
        <f t="shared" si="2"/>
        <v>14</v>
      </c>
      <c r="K13" s="9" t="s">
        <v>30</v>
      </c>
    </row>
    <row r="14" spans="1:11" x14ac:dyDescent="0.35">
      <c r="A14" s="4">
        <v>13</v>
      </c>
      <c r="B14" s="8" t="s">
        <v>20</v>
      </c>
      <c r="C14" s="4">
        <v>65</v>
      </c>
      <c r="D14" s="4">
        <v>45</v>
      </c>
      <c r="E14" s="4">
        <v>52</v>
      </c>
      <c r="F14" s="4">
        <v>85</v>
      </c>
      <c r="G14" s="4">
        <f t="shared" si="0"/>
        <v>247</v>
      </c>
      <c r="H14" s="6">
        <f t="shared" si="1"/>
        <v>61.75</v>
      </c>
      <c r="I14" s="4" t="s">
        <v>12</v>
      </c>
      <c r="J14" s="5">
        <f t="shared" si="2"/>
        <v>5</v>
      </c>
      <c r="K14" s="9" t="s">
        <v>22</v>
      </c>
    </row>
    <row r="15" spans="1:11" x14ac:dyDescent="0.35">
      <c r="A15" s="4">
        <v>14</v>
      </c>
      <c r="B15" s="8" t="s">
        <v>19</v>
      </c>
      <c r="C15" s="4">
        <v>35</v>
      </c>
      <c r="D15" s="4">
        <v>75</v>
      </c>
      <c r="E15" s="4">
        <v>75</v>
      </c>
      <c r="F15" s="4">
        <v>65</v>
      </c>
      <c r="G15" s="4">
        <f t="shared" si="0"/>
        <v>250</v>
      </c>
      <c r="H15" s="6">
        <f t="shared" si="1"/>
        <v>62.5</v>
      </c>
      <c r="I15" s="4" t="s">
        <v>12</v>
      </c>
      <c r="J15" s="5">
        <f t="shared" si="2"/>
        <v>3</v>
      </c>
      <c r="K15" s="9" t="s">
        <v>25</v>
      </c>
    </row>
    <row r="16" spans="1:11" x14ac:dyDescent="0.35">
      <c r="A16" s="4">
        <v>15</v>
      </c>
      <c r="B16" s="8" t="s">
        <v>28</v>
      </c>
      <c r="C16" s="4">
        <v>45</v>
      </c>
      <c r="D16" s="4">
        <v>65</v>
      </c>
      <c r="E16" s="4">
        <v>65</v>
      </c>
      <c r="F16" s="4">
        <v>35</v>
      </c>
      <c r="G16" s="4">
        <f t="shared" si="0"/>
        <v>210</v>
      </c>
      <c r="H16" s="6">
        <f t="shared" si="1"/>
        <v>52.5</v>
      </c>
      <c r="I16" s="4" t="s">
        <v>12</v>
      </c>
      <c r="J16" s="5">
        <f t="shared" si="2"/>
        <v>11</v>
      </c>
      <c r="K16" s="9" t="s">
        <v>29</v>
      </c>
    </row>
    <row r="17" spans="1:11" x14ac:dyDescent="0.35">
      <c r="A17" s="4">
        <v>16</v>
      </c>
      <c r="B17" s="8" t="s">
        <v>31</v>
      </c>
      <c r="C17" s="4">
        <v>65</v>
      </c>
      <c r="D17" s="4">
        <v>15</v>
      </c>
      <c r="E17" s="4">
        <v>85</v>
      </c>
      <c r="F17" s="4">
        <v>25</v>
      </c>
      <c r="G17" s="4">
        <f t="shared" si="0"/>
        <v>190</v>
      </c>
      <c r="H17" s="6">
        <f t="shared" si="1"/>
        <v>47.5</v>
      </c>
      <c r="I17" s="4" t="s">
        <v>12</v>
      </c>
      <c r="J17" s="5">
        <f t="shared" si="2"/>
        <v>14</v>
      </c>
      <c r="K17" s="9" t="s">
        <v>31</v>
      </c>
    </row>
    <row r="18" spans="1:11" x14ac:dyDescent="0.35">
      <c r="A18" s="4">
        <v>17</v>
      </c>
      <c r="B18" s="8" t="s">
        <v>24</v>
      </c>
      <c r="C18" s="4">
        <v>41</v>
      </c>
      <c r="D18" s="4">
        <v>75</v>
      </c>
      <c r="E18" s="4">
        <v>65</v>
      </c>
      <c r="F18" s="4">
        <v>45</v>
      </c>
      <c r="G18" s="4">
        <f t="shared" si="0"/>
        <v>226</v>
      </c>
      <c r="H18" s="6">
        <f t="shared" si="1"/>
        <v>56.5</v>
      </c>
      <c r="I18" s="4" t="s">
        <v>12</v>
      </c>
      <c r="J18" s="5">
        <f t="shared" si="2"/>
        <v>9</v>
      </c>
      <c r="K18" s="9" t="s">
        <v>27</v>
      </c>
    </row>
    <row r="19" spans="1:11" x14ac:dyDescent="0.35">
      <c r="A19" s="4">
        <v>18</v>
      </c>
      <c r="B19" s="8" t="s">
        <v>30</v>
      </c>
      <c r="C19" s="4">
        <v>10</v>
      </c>
      <c r="D19" s="4">
        <v>85</v>
      </c>
      <c r="E19" s="4">
        <v>35</v>
      </c>
      <c r="F19" s="4">
        <v>75</v>
      </c>
      <c r="G19" s="4">
        <f t="shared" si="0"/>
        <v>205</v>
      </c>
      <c r="H19" s="6">
        <f t="shared" si="1"/>
        <v>51.25</v>
      </c>
      <c r="I19" s="4" t="s">
        <v>12</v>
      </c>
      <c r="J19" s="5">
        <f t="shared" si="2"/>
        <v>12</v>
      </c>
      <c r="K19" s="9" t="s">
        <v>32</v>
      </c>
    </row>
    <row r="20" spans="1:11" x14ac:dyDescent="0.35">
      <c r="A20" s="4">
        <v>19</v>
      </c>
      <c r="B20" s="8" t="s">
        <v>26</v>
      </c>
      <c r="C20" s="4">
        <v>50</v>
      </c>
      <c r="D20" s="4">
        <v>65</v>
      </c>
      <c r="E20" s="4">
        <v>25</v>
      </c>
      <c r="F20" s="4">
        <v>85</v>
      </c>
      <c r="G20" s="4">
        <f t="shared" si="0"/>
        <v>225</v>
      </c>
      <c r="H20" s="6">
        <f t="shared" si="1"/>
        <v>56.25</v>
      </c>
      <c r="I20" s="4" t="s">
        <v>12</v>
      </c>
      <c r="J20" s="5">
        <f t="shared" si="2"/>
        <v>10</v>
      </c>
      <c r="K20" s="9" t="s">
        <v>14</v>
      </c>
    </row>
    <row r="21" spans="1:11" ht="15.5" x14ac:dyDescent="0.35">
      <c r="A21" s="4">
        <v>20</v>
      </c>
      <c r="B21" s="8" t="s">
        <v>32</v>
      </c>
      <c r="C21" s="4">
        <v>45</v>
      </c>
      <c r="D21" s="4">
        <v>35</v>
      </c>
      <c r="E21" s="4">
        <v>15</v>
      </c>
      <c r="F21" s="4">
        <v>25</v>
      </c>
      <c r="G21" s="4">
        <f t="shared" si="0"/>
        <v>120</v>
      </c>
      <c r="H21" s="6">
        <f t="shared" si="1"/>
        <v>30</v>
      </c>
      <c r="I21" s="7" t="s">
        <v>15</v>
      </c>
      <c r="J21" s="5">
        <f t="shared" si="2"/>
        <v>18</v>
      </c>
      <c r="K21" s="9" t="s">
        <v>23</v>
      </c>
    </row>
  </sheetData>
  <conditionalFormatting sqref="I1:I21 J1:K1">
    <cfRule type="expression" dxfId="2" priority="4">
      <formula>$I2="Fail"</formula>
    </cfRule>
  </conditionalFormatting>
  <conditionalFormatting sqref="D1:D21">
    <cfRule type="expression" priority="3">
      <formula>D2&lt;33</formula>
    </cfRule>
  </conditionalFormatting>
  <conditionalFormatting sqref="C2:C21">
    <cfRule type="expression" dxfId="1" priority="2">
      <formula>C2&lt;33</formula>
    </cfRule>
  </conditionalFormatting>
  <conditionalFormatting sqref="D2:F21">
    <cfRule type="expression" dxfId="0" priority="1">
      <formula>D2&lt;33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ED719-2949-46D5-8105-46E395DBEE71}">
  <dimension ref="A1:T36"/>
  <sheetViews>
    <sheetView showGridLines="0" tabSelected="1" workbookViewId="0">
      <selection activeCell="Q7" sqref="Q7"/>
    </sheetView>
  </sheetViews>
  <sheetFormatPr defaultRowHeight="14.5" x14ac:dyDescent="0.35"/>
  <sheetData>
    <row r="1" spans="1:20" x14ac:dyDescent="0.3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</row>
    <row r="2" spans="1:20" x14ac:dyDescent="0.3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</row>
    <row r="3" spans="1:20" x14ac:dyDescent="0.35">
      <c r="A3" s="10"/>
      <c r="B3" s="10"/>
      <c r="C3" s="10"/>
      <c r="D3" s="11" t="s">
        <v>33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0"/>
      <c r="P3" s="10"/>
      <c r="Q3" s="10"/>
      <c r="R3" s="10"/>
      <c r="S3" s="10"/>
      <c r="T3" s="10"/>
    </row>
    <row r="4" spans="1:20" x14ac:dyDescent="0.35">
      <c r="A4" s="10"/>
      <c r="B4" s="10"/>
      <c r="C4" s="10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0"/>
      <c r="P4" s="10"/>
      <c r="Q4" s="10"/>
      <c r="R4" s="10"/>
      <c r="S4" s="10"/>
      <c r="T4" s="10"/>
    </row>
    <row r="5" spans="1:20" x14ac:dyDescent="0.3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</row>
    <row r="6" spans="1:20" x14ac:dyDescent="0.3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</row>
    <row r="7" spans="1:20" x14ac:dyDescent="0.3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</row>
    <row r="8" spans="1:20" x14ac:dyDescent="0.3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</row>
    <row r="9" spans="1:20" x14ac:dyDescent="0.3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 spans="1:20" x14ac:dyDescent="0.3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 spans="1:20" x14ac:dyDescent="0.3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</row>
    <row r="12" spans="1:20" x14ac:dyDescent="0.3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</row>
    <row r="13" spans="1:20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</row>
    <row r="14" spans="1:20" x14ac:dyDescent="0.3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</row>
    <row r="15" spans="1:20" x14ac:dyDescent="0.3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</row>
    <row r="16" spans="1:20" x14ac:dyDescent="0.3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</row>
    <row r="17" spans="1:20" x14ac:dyDescent="0.3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</row>
    <row r="18" spans="1:20" x14ac:dyDescent="0.3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</row>
    <row r="19" spans="1:20" x14ac:dyDescent="0.3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</row>
    <row r="20" spans="1:20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</row>
    <row r="21" spans="1:20" x14ac:dyDescent="0.3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</row>
    <row r="22" spans="1:20" x14ac:dyDescent="0.3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</row>
    <row r="23" spans="1:20" x14ac:dyDescent="0.3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</row>
    <row r="24" spans="1:20" x14ac:dyDescent="0.3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</row>
    <row r="25" spans="1:20" x14ac:dyDescent="0.3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</row>
    <row r="26" spans="1:20" x14ac:dyDescent="0.3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</row>
    <row r="27" spans="1:20" x14ac:dyDescent="0.3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</row>
    <row r="28" spans="1:20" x14ac:dyDescent="0.3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</row>
    <row r="29" spans="1:20" x14ac:dyDescent="0.3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</row>
    <row r="30" spans="1:20" x14ac:dyDescent="0.3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</row>
    <row r="31" spans="1:20" x14ac:dyDescent="0.3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</row>
    <row r="32" spans="1:20" x14ac:dyDescent="0.3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</row>
    <row r="33" spans="1:20" x14ac:dyDescent="0.3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</row>
    <row r="34" spans="1:20" x14ac:dyDescent="0.3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</row>
    <row r="35" spans="1:20" x14ac:dyDescent="0.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</row>
    <row r="36" spans="1:20" x14ac:dyDescent="0.3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</row>
  </sheetData>
  <mergeCells count="1">
    <mergeCell ref="D3:N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Ali School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Ahammed Hafij Ali</dc:creator>
  <cp:lastModifiedBy>Ahammed Hafij Ali</cp:lastModifiedBy>
  <dcterms:created xsi:type="dcterms:W3CDTF">2025-12-26T06:07:04Z</dcterms:created>
  <dcterms:modified xsi:type="dcterms:W3CDTF">2025-12-26T06:13:09Z</dcterms:modified>
</cp:coreProperties>
</file>